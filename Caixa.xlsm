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712286857d57c7/Daniel/Dev/Pizzaria Lorenzo's/"/>
    </mc:Choice>
  </mc:AlternateContent>
  <xr:revisionPtr revIDLastSave="1542" documentId="13_ncr:1_{3187E916-CF68-4DA3-9D3F-0558AAD2685F}" xr6:coauthVersionLast="46" xr6:coauthVersionMax="46" xr10:uidLastSave="{1D22156F-2A15-4829-A69F-496C034ABB8B}"/>
  <bookViews>
    <workbookView xWindow="-120" yWindow="-120" windowWidth="20730" windowHeight="11160" tabRatio="665" activeTab="1" xr2:uid="{641E4F9A-5756-4FCB-9FEC-496DF2915DF2}"/>
  </bookViews>
  <sheets>
    <sheet name="Menu" sheetId="8" r:id="rId1"/>
    <sheet name="Fechar Caixa" sheetId="1" r:id="rId2"/>
    <sheet name="Boletos" sheetId="9" r:id="rId3"/>
    <sheet name="Config" sheetId="12" r:id="rId4"/>
    <sheet name="Categorias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Q21" i="1" l="1"/>
  <c r="Q6" i="1" l="1"/>
  <c r="Q20" i="1" s="1"/>
  <c r="Q22" i="1" s="1"/>
</calcChain>
</file>

<file path=xl/sharedStrings.xml><?xml version="1.0" encoding="utf-8"?>
<sst xmlns="http://schemas.openxmlformats.org/spreadsheetml/2006/main" count="91" uniqueCount="81">
  <si>
    <t>Vendas Total</t>
  </si>
  <si>
    <t>Custos de Motoboy</t>
  </si>
  <si>
    <t>Fechamento do Caixa</t>
  </si>
  <si>
    <t>Vendas</t>
  </si>
  <si>
    <t>Taxa Serviço</t>
  </si>
  <si>
    <t>Pagtos. no Caixa</t>
  </si>
  <si>
    <t>Delivery</t>
  </si>
  <si>
    <t>iFood</t>
  </si>
  <si>
    <t>iFood Lanches</t>
  </si>
  <si>
    <t>Dinheiro</t>
  </si>
  <si>
    <t>Pedidos</t>
  </si>
  <si>
    <t>Valor</t>
  </si>
  <si>
    <t>Elo Débito</t>
  </si>
  <si>
    <t>Elo Crédito</t>
  </si>
  <si>
    <t>Visa Débito</t>
  </si>
  <si>
    <t>Visa Crédito</t>
  </si>
  <si>
    <t>Pagamentos no Caixa</t>
  </si>
  <si>
    <t>Amex</t>
  </si>
  <si>
    <t>Descrição</t>
  </si>
  <si>
    <t>Maestro Débito</t>
  </si>
  <si>
    <t>Master Crédito</t>
  </si>
  <si>
    <t>Cheque</t>
  </si>
  <si>
    <t>Contra Vale</t>
  </si>
  <si>
    <t>TOTAL:</t>
  </si>
  <si>
    <t>Vendas no dia:</t>
  </si>
  <si>
    <t>Diferença:</t>
  </si>
  <si>
    <t>Caixa Inicial</t>
  </si>
  <si>
    <t>ID</t>
  </si>
  <si>
    <t>Fornecedor</t>
  </si>
  <si>
    <t>Vencimento</t>
  </si>
  <si>
    <t>Adicionar novos boletos</t>
  </si>
  <si>
    <t>Motoboy</t>
  </si>
  <si>
    <t>Descontos</t>
  </si>
  <si>
    <t>Compras</t>
  </si>
  <si>
    <t>VENDAS_TOTAL</t>
  </si>
  <si>
    <t>DATA</t>
  </si>
  <si>
    <t>TAXA_SERVICO</t>
  </si>
  <si>
    <t>DELIVERY_PEDIDOS</t>
  </si>
  <si>
    <t>DELIVERY_VALOR</t>
  </si>
  <si>
    <t>IFOOD_PEDIDOS</t>
  </si>
  <si>
    <t>IFOOD_VALOR</t>
  </si>
  <si>
    <t xml:space="preserve"> IFOOD_DESCONTOS</t>
  </si>
  <si>
    <t>IFOOD_ENTREGA</t>
  </si>
  <si>
    <t>IFOOD2_PEDIDOS</t>
  </si>
  <si>
    <t>IFOOD2_VALOR</t>
  </si>
  <si>
    <t>IFOOD2_DESCONTOS</t>
  </si>
  <si>
    <t>IFOOD2_ENTREGA</t>
  </si>
  <si>
    <t>CUSTO_MOTOBOY1</t>
  </si>
  <si>
    <t>CUSTO_MOTOBOY2</t>
  </si>
  <si>
    <t>CUSTO_MOTOBOY3</t>
  </si>
  <si>
    <t>CUSTO_MOTOBOY4</t>
  </si>
  <si>
    <t>B1</t>
  </si>
  <si>
    <t>C6</t>
  </si>
  <si>
    <t>D6</t>
  </si>
  <si>
    <t>C10</t>
  </si>
  <si>
    <t>D10</t>
  </si>
  <si>
    <t>C14</t>
  </si>
  <si>
    <t>D14</t>
  </si>
  <si>
    <t>E14</t>
  </si>
  <si>
    <t>F14</t>
  </si>
  <si>
    <t>C18</t>
  </si>
  <si>
    <t>D18</t>
  </si>
  <si>
    <t>E18</t>
  </si>
  <si>
    <t>F18</t>
  </si>
  <si>
    <t>C22</t>
  </si>
  <si>
    <t>D22</t>
  </si>
  <si>
    <t>E22</t>
  </si>
  <si>
    <t>F22</t>
  </si>
  <si>
    <t>FECHA CAIXA</t>
  </si>
  <si>
    <t>Célula</t>
  </si>
  <si>
    <t>Folha de Pagamento</t>
  </si>
  <si>
    <t>Outras</t>
  </si>
  <si>
    <t>Ticket</t>
  </si>
  <si>
    <t>Motoboy 1</t>
  </si>
  <si>
    <t>Motoboy 2</t>
  </si>
  <si>
    <t>Motoboy 3</t>
  </si>
  <si>
    <t>Motoboy 4</t>
  </si>
  <si>
    <t>Ifood</t>
  </si>
  <si>
    <t xml:space="preserve"> </t>
  </si>
  <si>
    <t>Motoboy William</t>
  </si>
  <si>
    <t>Motoboy Leonardo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</si>
</sst>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&quot;de&quot;\ mmmm\ &quot;de&quot;\ yyyy"/>
    <numFmt numFmtId="165" formatCode="0.00_ ;[Red]\-0.00\ "/>
    <numFmt numFmtId="166" formatCode="#,##0.00_ ;\-#,##0.00\ "/>
  </numFmts>
  <fonts count="11" x14ac:knownFonts="1"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4"/>
      <color theme="7" tint="-0.499984740745262"/>
      <name val="Arial"/>
      <family val="2"/>
    </font>
    <font>
      <sz val="12"/>
      <color rgb="FF000000"/>
      <name val="Wingdings"/>
      <charset val="2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0" borderId="7" xfId="0" applyNumberFormat="1" applyBorder="1" applyAlignment="1" applyProtection="1">
      <alignment horizontal="center"/>
      <protection locked="0"/>
    </xf>
    <xf numFmtId="3" fontId="0" fillId="0" borderId="6" xfId="0" applyNumberFormat="1" applyBorder="1" applyAlignment="1" applyProtection="1">
      <alignment horizont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6" fillId="11" borderId="14" xfId="0" applyFont="1" applyFill="1" applyBorder="1" applyAlignment="1" applyProtection="1">
      <alignment horizontal="center" vertical="center"/>
      <protection locked="0"/>
    </xf>
    <xf numFmtId="166" fontId="6" fillId="11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/>
      <protection locked="0"/>
    </xf>
    <xf numFmtId="166" fontId="6" fillId="5" borderId="15" xfId="0" applyNumberFormat="1" applyFont="1" applyFill="1" applyBorder="1" applyAlignment="1" applyProtection="1">
      <alignment horizontal="center" vertical="center"/>
      <protection locked="0"/>
    </xf>
    <xf numFmtId="14" fontId="6" fillId="5" borderId="17" xfId="0" applyNumberFormat="1" applyFont="1" applyFill="1" applyBorder="1" applyAlignment="1" applyProtection="1">
      <alignment horizontal="center" vertical="center"/>
      <protection locked="0"/>
    </xf>
    <xf numFmtId="0" fontId="0" fillId="12" borderId="0" xfId="0" applyFill="1"/>
    <xf numFmtId="0" fontId="0" fillId="3" borderId="0" xfId="0" applyFill="1" applyAlignment="1">
      <alignment vertical="center"/>
    </xf>
    <xf numFmtId="164" fontId="7" fillId="3" borderId="0" xfId="0" applyNumberFormat="1" applyFont="1" applyFill="1" applyAlignment="1">
      <alignment vertical="center"/>
    </xf>
    <xf numFmtId="14" fontId="6" fillId="11" borderId="17" xfId="0" applyNumberFormat="1" applyFont="1" applyFill="1" applyBorder="1" applyAlignment="1" applyProtection="1">
      <alignment horizontal="center" vertical="center"/>
      <protection locked="0"/>
    </xf>
    <xf numFmtId="166" fontId="0" fillId="0" borderId="18" xfId="0" applyNumberFormat="1" applyBorder="1" applyAlignment="1" applyProtection="1">
      <alignment horizontal="center"/>
      <protection locked="0"/>
    </xf>
    <xf numFmtId="3" fontId="0" fillId="0" borderId="18" xfId="0" applyNumberFormat="1" applyBorder="1" applyAlignment="1" applyProtection="1">
      <alignment horizontal="center"/>
      <protection locked="0"/>
    </xf>
    <xf numFmtId="0" fontId="0" fillId="0" borderId="12" xfId="0" applyBorder="1" applyAlignment="1" applyProtection="1">
      <protection locked="0"/>
    </xf>
    <xf numFmtId="0" fontId="1" fillId="13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166" fontId="10" fillId="0" borderId="6" xfId="0" applyNumberFormat="1" applyFont="1" applyBorder="1" applyAlignment="1" applyProtection="1">
      <alignment horizontal="center"/>
      <protection locked="0"/>
    </xf>
    <xf numFmtId="166" fontId="10" fillId="0" borderId="18" xfId="0" applyNumberFormat="1" applyFont="1" applyBorder="1" applyAlignment="1" applyProtection="1">
      <alignment horizontal="center"/>
      <protection locked="0"/>
    </xf>
    <xf numFmtId="166" fontId="10" fillId="0" borderId="7" xfId="0" applyNumberFormat="1" applyFont="1" applyBorder="1" applyAlignment="1" applyProtection="1">
      <alignment horizontal="center"/>
      <protection locked="0"/>
    </xf>
    <xf numFmtId="0" fontId="0" fillId="2" borderId="0" xfId="0" applyFill="1" applyProtection="1"/>
    <xf numFmtId="0" fontId="0" fillId="0" borderId="0" xfId="0" applyFill="1" applyProtection="1"/>
    <xf numFmtId="0" fontId="0" fillId="9" borderId="0" xfId="0" applyFill="1" applyProtection="1"/>
    <xf numFmtId="0" fontId="0" fillId="0" borderId="0" xfId="0" applyProtection="1"/>
    <xf numFmtId="0" fontId="0" fillId="3" borderId="0" xfId="0" applyFill="1" applyProtection="1"/>
    <xf numFmtId="0" fontId="0" fillId="3" borderId="0" xfId="0" applyFill="1" applyAlignment="1" applyProtection="1">
      <alignment horizontal="left"/>
    </xf>
    <xf numFmtId="165" fontId="0" fillId="3" borderId="0" xfId="0" applyNumberFormat="1" applyFill="1" applyProtection="1"/>
    <xf numFmtId="0" fontId="0" fillId="0" borderId="0" xfId="0" applyFill="1" applyAlignment="1" applyProtection="1">
      <alignment horizontal="left"/>
    </xf>
    <xf numFmtId="165" fontId="0" fillId="0" borderId="0" xfId="0" applyNumberFormat="1" applyFill="1" applyProtection="1"/>
    <xf numFmtId="0" fontId="0" fillId="0" borderId="0" xfId="0" applyAlignment="1" applyProtection="1">
      <alignment horizontal="left"/>
    </xf>
    <xf numFmtId="165" fontId="0" fillId="0" borderId="0" xfId="0" applyNumberFormat="1" applyProtection="1"/>
    <xf numFmtId="0" fontId="0" fillId="0" borderId="0" xfId="0" applyFill="1" applyBorder="1" applyAlignment="1" applyProtection="1"/>
    <xf numFmtId="0" fontId="0" fillId="9" borderId="0" xfId="0" applyFill="1" applyBorder="1" applyAlignment="1" applyProtection="1"/>
    <xf numFmtId="0" fontId="1" fillId="5" borderId="6" xfId="0" applyFont="1" applyFill="1" applyBorder="1" applyAlignment="1" applyProtection="1">
      <alignment horizontal="left"/>
    </xf>
    <xf numFmtId="0" fontId="1" fillId="5" borderId="8" xfId="0" applyFont="1" applyFill="1" applyBorder="1" applyAlignment="1" applyProtection="1">
      <alignment horizontal="left"/>
    </xf>
    <xf numFmtId="0" fontId="2" fillId="4" borderId="14" xfId="0" applyFont="1" applyFill="1" applyBorder="1" applyAlignment="1" applyProtection="1">
      <alignment horizontal="center" vertical="center"/>
    </xf>
    <xf numFmtId="4" fontId="2" fillId="4" borderId="17" xfId="0" applyNumberFormat="1" applyFont="1" applyFill="1" applyBorder="1" applyAlignment="1" applyProtection="1">
      <alignment horizontal="center" vertical="center"/>
    </xf>
    <xf numFmtId="4" fontId="2" fillId="4" borderId="15" xfId="0" applyNumberFormat="1" applyFont="1" applyFill="1" applyBorder="1" applyAlignment="1" applyProtection="1">
      <alignment horizontal="center" vertical="center"/>
    </xf>
    <xf numFmtId="0" fontId="1" fillId="5" borderId="14" xfId="0" applyFont="1" applyFill="1" applyBorder="1" applyAlignment="1" applyProtection="1">
      <alignment horizontal="left"/>
    </xf>
    <xf numFmtId="4" fontId="1" fillId="5" borderId="6" xfId="0" applyNumberFormat="1" applyFont="1" applyFill="1" applyBorder="1" applyAlignment="1" applyProtection="1">
      <alignment horizontal="left"/>
    </xf>
    <xf numFmtId="0" fontId="1" fillId="0" borderId="0" xfId="0" applyFont="1" applyAlignment="1" applyProtection="1">
      <alignment horizontal="center"/>
    </xf>
    <xf numFmtId="4" fontId="1" fillId="5" borderId="14" xfId="0" applyNumberFormat="1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/>
    <xf numFmtId="0" fontId="2" fillId="4" borderId="14" xfId="0" applyFont="1" applyFill="1" applyBorder="1" applyAlignment="1" applyProtection="1">
      <alignment horizontal="center" vertical="center" wrapText="1"/>
    </xf>
    <xf numFmtId="0" fontId="2" fillId="4" borderId="17" xfId="0" applyFont="1" applyFill="1" applyBorder="1" applyAlignment="1" applyProtection="1">
      <alignment horizontal="center" vertical="center" wrapText="1"/>
    </xf>
    <xf numFmtId="0" fontId="2" fillId="4" borderId="15" xfId="0" applyFont="1" applyFill="1" applyBorder="1" applyAlignment="1" applyProtection="1">
      <alignment horizontal="center" vertical="center" wrapText="1"/>
    </xf>
    <xf numFmtId="0" fontId="1" fillId="7" borderId="0" xfId="0" applyFont="1" applyFill="1" applyBorder="1" applyAlignment="1" applyProtection="1"/>
    <xf numFmtId="0" fontId="0" fillId="7" borderId="0" xfId="0" applyFill="1" applyProtection="1"/>
    <xf numFmtId="0" fontId="2" fillId="7" borderId="0" xfId="0" applyFont="1" applyFill="1" applyAlignment="1" applyProtection="1">
      <alignment horizontal="center" vertical="center" wrapText="1"/>
    </xf>
    <xf numFmtId="4" fontId="0" fillId="0" borderId="0" xfId="0" applyNumberFormat="1" applyAlignment="1" applyProtection="1">
      <alignment horizontal="right"/>
    </xf>
    <xf numFmtId="4" fontId="0" fillId="3" borderId="0" xfId="0" applyNumberFormat="1" applyFill="1" applyAlignment="1" applyProtection="1">
      <alignment horizontal="right"/>
    </xf>
    <xf numFmtId="4" fontId="0" fillId="7" borderId="0" xfId="0" applyNumberFormat="1" applyFill="1" applyAlignment="1" applyProtection="1">
      <alignment horizontal="right"/>
    </xf>
    <xf numFmtId="4" fontId="0" fillId="0" borderId="0" xfId="0" applyNumberFormat="1" applyFill="1" applyAlignment="1" applyProtection="1">
      <alignment horizontal="right"/>
    </xf>
    <xf numFmtId="4" fontId="0" fillId="2" borderId="0" xfId="0" applyNumberFormat="1" applyFill="1" applyAlignment="1" applyProtection="1">
      <alignment horizontal="right"/>
    </xf>
    <xf numFmtId="0" fontId="2" fillId="0" borderId="0" xfId="0" applyFont="1" applyAlignment="1" applyProtection="1">
      <alignment horizontal="center" vertical="center" wrapText="1"/>
    </xf>
    <xf numFmtId="2" fontId="2" fillId="7" borderId="0" xfId="0" applyNumberFormat="1" applyFont="1" applyFill="1" applyAlignment="1" applyProtection="1">
      <alignment horizontal="right"/>
    </xf>
    <xf numFmtId="0" fontId="2" fillId="0" borderId="0" xfId="0" applyFont="1" applyAlignment="1" applyProtection="1">
      <alignment horizontal="center"/>
    </xf>
    <xf numFmtId="0" fontId="2" fillId="7" borderId="0" xfId="0" applyFont="1" applyFill="1" applyAlignment="1" applyProtection="1">
      <alignment horizontal="center"/>
    </xf>
    <xf numFmtId="0" fontId="2" fillId="4" borderId="16" xfId="0" applyFont="1" applyFill="1" applyBorder="1" applyAlignment="1" applyProtection="1">
      <alignment horizontal="center" vertical="center" wrapText="1"/>
    </xf>
    <xf numFmtId="0" fontId="2" fillId="4" borderId="5" xfId="0" applyFont="1" applyFill="1" applyBorder="1" applyAlignment="1" applyProtection="1">
      <alignment horizontal="center" vertical="center" wrapText="1"/>
    </xf>
    <xf numFmtId="2" fontId="2" fillId="0" borderId="0" xfId="0" applyNumberFormat="1" applyFont="1" applyAlignment="1" applyProtection="1">
      <alignment horizontal="right"/>
    </xf>
    <xf numFmtId="0" fontId="1" fillId="5" borderId="10" xfId="0" applyFont="1" applyFill="1" applyBorder="1" applyAlignment="1" applyProtection="1">
      <alignment horizontal="left"/>
    </xf>
    <xf numFmtId="4" fontId="0" fillId="2" borderId="0" xfId="0" applyNumberFormat="1" applyFill="1" applyAlignment="1" applyProtection="1">
      <alignment horizontal="center"/>
    </xf>
    <xf numFmtId="4" fontId="0" fillId="7" borderId="0" xfId="0" applyNumberFormat="1" applyFill="1" applyAlignment="1" applyProtection="1">
      <alignment horizontal="center"/>
    </xf>
    <xf numFmtId="0" fontId="2" fillId="4" borderId="4" xfId="0" applyFont="1" applyFill="1" applyBorder="1" applyAlignment="1" applyProtection="1">
      <alignment horizontal="center" vertical="center" wrapText="1"/>
    </xf>
    <xf numFmtId="0" fontId="2" fillId="2" borderId="0" xfId="0" applyFont="1" applyFill="1" applyAlignment="1" applyProtection="1">
      <alignment horizontal="center" vertical="center" wrapText="1"/>
    </xf>
    <xf numFmtId="4" fontId="0" fillId="0" borderId="0" xfId="0" applyNumberFormat="1" applyFill="1" applyAlignment="1" applyProtection="1">
      <alignment horizontal="center"/>
    </xf>
    <xf numFmtId="0" fontId="1" fillId="8" borderId="12" xfId="0" applyFont="1" applyFill="1" applyBorder="1" applyAlignment="1" applyProtection="1">
      <alignment horizontal="center"/>
    </xf>
    <xf numFmtId="0" fontId="1" fillId="8" borderId="15" xfId="0" applyFont="1" applyFill="1" applyBorder="1" applyAlignment="1" applyProtection="1">
      <alignment horizontal="center"/>
    </xf>
    <xf numFmtId="4" fontId="2" fillId="7" borderId="0" xfId="0" applyNumberFormat="1" applyFont="1" applyFill="1" applyAlignment="1" applyProtection="1">
      <alignment horizontal="center" vertical="center"/>
    </xf>
    <xf numFmtId="164" fontId="1" fillId="0" borderId="0" xfId="0" applyNumberFormat="1" applyFont="1" applyAlignment="1" applyProtection="1">
      <alignment horizontal="center"/>
    </xf>
    <xf numFmtId="0" fontId="2" fillId="0" borderId="0" xfId="0" applyFont="1" applyFill="1" applyAlignment="1" applyProtection="1">
      <alignment horizontal="center" vertical="center" wrapText="1"/>
    </xf>
    <xf numFmtId="0" fontId="0" fillId="6" borderId="0" xfId="0" applyFill="1" applyAlignment="1" applyProtection="1">
      <alignment horizontal="left"/>
    </xf>
    <xf numFmtId="165" fontId="0" fillId="6" borderId="0" xfId="0" applyNumberFormat="1" applyFill="1" applyProtection="1"/>
    <xf numFmtId="4" fontId="2" fillId="0" borderId="0" xfId="0" applyNumberFormat="1" applyFont="1" applyAlignment="1" applyProtection="1">
      <alignment horizontal="center" vertical="center"/>
    </xf>
    <xf numFmtId="0" fontId="0" fillId="0" borderId="6" xfId="0" applyFont="1" applyFill="1" applyBorder="1" applyProtection="1"/>
    <xf numFmtId="4" fontId="0" fillId="0" borderId="15" xfId="0" applyNumberFormat="1" applyBorder="1" applyProtection="1">
      <protection locked="0"/>
    </xf>
    <xf numFmtId="4" fontId="0" fillId="5" borderId="11" xfId="0" applyNumberFormat="1" applyFill="1" applyBorder="1" applyProtection="1"/>
    <xf numFmtId="4" fontId="0" fillId="0" borderId="15" xfId="0" applyNumberFormat="1" applyBorder="1" applyAlignment="1" applyProtection="1">
      <alignment horizontal="right"/>
      <protection locked="0"/>
    </xf>
    <xf numFmtId="4" fontId="0" fillId="0" borderId="7" xfId="0" applyNumberFormat="1" applyBorder="1" applyProtection="1">
      <protection locked="0"/>
    </xf>
    <xf numFmtId="4" fontId="0" fillId="3" borderId="0" xfId="0" applyNumberFormat="1" applyFill="1" applyProtection="1"/>
    <xf numFmtId="166" fontId="1" fillId="5" borderId="9" xfId="0" applyNumberFormat="1" applyFont="1" applyFill="1" applyBorder="1"/>
    <xf numFmtId="166" fontId="1" fillId="5" borderId="15" xfId="0" applyNumberFormat="1" applyFont="1" applyFill="1" applyBorder="1"/>
    <xf numFmtId="166" fontId="1" fillId="5" borderId="7" xfId="0" applyNumberFormat="1" applyFont="1" applyFill="1" applyBorder="1"/>
    <xf numFmtId="0" fontId="1" fillId="5" borderId="19" xfId="0" applyFont="1" applyFill="1" applyBorder="1" applyAlignment="1" applyProtection="1">
      <alignment horizontal="left"/>
    </xf>
    <xf numFmtId="0" fontId="1" fillId="5" borderId="20" xfId="0" applyFont="1" applyFill="1" applyBorder="1" applyAlignment="1" applyProtection="1">
      <alignment horizontal="left"/>
    </xf>
    <xf numFmtId="0" fontId="1" fillId="5" borderId="3" xfId="0" applyFont="1" applyFill="1" applyBorder="1" applyAlignment="1" applyProtection="1">
      <alignment horizontal="left"/>
    </xf>
    <xf numFmtId="0" fontId="1" fillId="5" borderId="21" xfId="0" applyFont="1" applyFill="1" applyBorder="1" applyAlignment="1" applyProtection="1">
      <alignment horizontal="left"/>
    </xf>
    <xf numFmtId="1" fontId="1" fillId="5" borderId="20" xfId="0" applyNumberFormat="1" applyFont="1" applyFill="1" applyBorder="1" applyAlignment="1" applyProtection="1">
      <alignment horizontal="center"/>
    </xf>
    <xf numFmtId="4" fontId="0" fillId="0" borderId="5" xfId="0" applyNumberFormat="1" applyBorder="1" applyProtection="1">
      <protection locked="0"/>
    </xf>
    <xf numFmtId="4" fontId="0" fillId="10" borderId="11" xfId="0" applyNumberFormat="1" applyFill="1" applyBorder="1" applyProtection="1">
      <protection locked="0"/>
    </xf>
    <xf numFmtId="2" fontId="1" fillId="0" borderId="0" xfId="0" applyNumberFormat="1" applyFont="1" applyAlignment="1" applyProtection="1">
      <alignment horizontal="center"/>
    </xf>
    <xf numFmtId="4" fontId="0" fillId="0" borderId="0" xfId="0" applyNumberFormat="1" applyProtection="1"/>
    <xf numFmtId="0" fontId="2" fillId="4" borderId="1" xfId="0" applyFont="1" applyFill="1" applyBorder="1" applyAlignment="1" applyProtection="1">
      <alignment horizontal="center" vertical="center" wrapText="1"/>
    </xf>
    <xf numFmtId="0" fontId="2" fillId="4" borderId="3" xfId="0" applyFont="1" applyFill="1" applyBorder="1" applyAlignment="1" applyProtection="1">
      <alignment horizontal="center" vertical="center" wrapText="1"/>
    </xf>
    <xf numFmtId="0" fontId="2" fillId="4" borderId="2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/>
    </xf>
    <xf numFmtId="0" fontId="2" fillId="4" borderId="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1" fillId="5" borderId="1" xfId="0" applyFont="1" applyFill="1" applyBorder="1" applyAlignment="1" applyProtection="1">
      <alignment horizontal="center" vertical="center"/>
    </xf>
    <xf numFmtId="0" fontId="1" fillId="5" borderId="3" xfId="0" applyFont="1" applyFill="1" applyBorder="1" applyAlignment="1" applyProtection="1">
      <alignment horizontal="center" vertical="center"/>
    </xf>
    <xf numFmtId="0" fontId="1" fillId="5" borderId="2" xfId="0" applyFont="1" applyFill="1" applyBorder="1" applyAlignment="1" applyProtection="1">
      <alignment horizontal="center" vertical="center"/>
    </xf>
    <xf numFmtId="164" fontId="3" fillId="9" borderId="0" xfId="0" applyNumberFormat="1" applyFont="1" applyFill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 vertical="center" wrapText="1"/>
    </xf>
    <xf numFmtId="0" fontId="2" fillId="4" borderId="13" xfId="0" applyFont="1" applyFill="1" applyBorder="1" applyAlignment="1" applyProtection="1">
      <alignment horizontal="center" vertical="center" wrapText="1"/>
    </xf>
    <xf numFmtId="0" fontId="1" fillId="8" borderId="1" xfId="0" applyFont="1" applyFill="1" applyBorder="1" applyAlignment="1" applyProtection="1">
      <alignment horizontal="center"/>
    </xf>
    <xf numFmtId="0" fontId="1" fillId="8" borderId="2" xfId="0" applyFont="1" applyFill="1" applyBorder="1" applyAlignment="1" applyProtection="1">
      <alignment horizontal="center"/>
    </xf>
    <xf numFmtId="164" fontId="7" fillId="3" borderId="19" xfId="0" applyNumberFormat="1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/>
    </xf>
  </cellXfs>
  <cellStyles count="1">
    <cellStyle name="Normal" xfId="0" builtinId="0"/>
  </cellStyles>
  <dxfs count="17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361949</xdr:colOff>
      <xdr:row>0</xdr:row>
      <xdr:rowOff>0</xdr:rowOff>
    </xdr:from>
    <xdr:to>
      <xdr:col>15</xdr:col>
      <xdr:colOff>523874</xdr:colOff>
      <xdr:row>27</xdr:row>
      <xdr:rowOff>57149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49" y="0"/>
          <a:ext cx="4429125" cy="4429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5</xdr:row>
          <xdr:rowOff>28575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14</xdr:row>
          <xdr:rowOff>104775</xdr:rowOff>
        </xdr:from>
        <xdr:to>
          <xdr:col>5</xdr:col>
          <xdr:colOff>47625</xdr:colOff>
          <xdr:row>21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Boletos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1000125</xdr:colOff>
          <xdr:row>19</xdr:row>
          <xdr:rowOff>152400</xdr:rowOff>
        </xdr:from>
        <xdr:to>
          <xdr:col>9</xdr:col>
          <xdr:colOff>2105025</xdr:colOff>
          <xdr:row>22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caixa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38100</xdr:rowOff>
        </xdr:from>
        <xdr:to>
          <xdr:col>0</xdr:col>
          <xdr:colOff>504825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Wingdings"/>
                </a:rPr>
                <a:t>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13</xdr:row>
          <xdr:rowOff>19050</xdr:rowOff>
        </xdr:from>
        <xdr:to>
          <xdr:col>5</xdr:col>
          <xdr:colOff>0</xdr:colOff>
          <xdr:row>15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1</xdr:col>
          <xdr:colOff>285750</xdr:colOff>
          <xdr:row>1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Wingdings"/>
                </a:rPr>
                <a:t>ç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523875</xdr:colOff>
      <xdr:row>3</xdr:row>
      <xdr:rowOff>209550</xdr:rowOff>
    </xdr:from>
    <xdr:to>
      <xdr:col>12</xdr:col>
      <xdr:colOff>180975</xdr:colOff>
      <xdr:row>8</xdr:row>
      <xdr:rowOff>266700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2050" y="1247775"/>
          <a:ext cx="1485900" cy="1485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CCD54-EE7E-450F-BF9F-F5E0262C7EE4}">
  <sheetPr codeName="Planilha8"/>
  <dimension ref="A1"/>
  <sheetViews>
    <sheetView showGridLines="0" showRowColHeaders="0" workbookViewId="0">
      <selection activeCell="I5" sqref="I5"/>
    </sheetView>
  </sheetViews>
  <sheetFormatPr defaultRowHeight="12.75" x14ac:dyDescent="0.2"/>
  <cols>
    <col min="1" max="16384" width="9.140625" style="16"/>
  </cols>
  <sheetData/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enu_FechaCaixa">
                <anchor moveWithCells="1">
                  <from>
                    <xdr:col>1</xdr:col>
                    <xdr:colOff>390525</xdr:colOff>
                    <xdr:row>5</xdr:row>
                    <xdr:rowOff>28575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enu_Boletos">
                <anchor moveWithCells="1">
                  <from>
                    <xdr:col>1</xdr:col>
                    <xdr:colOff>390525</xdr:colOff>
                    <xdr:row>14</xdr:row>
                    <xdr:rowOff>104775</xdr:rowOff>
                  </from>
                  <to>
                    <xdr:col>5</xdr:col>
                    <xdr:colOff>47625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D2A05-4B15-4DDE-98DE-B7727E53EC0E}">
  <sheetPr codeName="Planilha1"/>
  <dimension ref="B1:U24"/>
  <sheetViews>
    <sheetView showGridLines="0" tabSelected="1" topLeftCell="B1" workbookViewId="0">
      <selection activeCell="Q8" sqref="Q8"/>
    </sheetView>
  </sheetViews>
  <sheetFormatPr defaultRowHeight="12.75" x14ac:dyDescent="0.2"/>
  <cols>
    <col min="1" max="1" width="9.140625" style="31" customWidth="1"/>
    <col min="2" max="2" width="3" style="31" customWidth="1"/>
    <col min="3" max="6" width="14.140625" style="31" customWidth="1"/>
    <col min="7" max="9" width="3" style="31" customWidth="1"/>
    <col min="10" max="10" width="34.28515625" style="31" customWidth="1"/>
    <col min="11" max="11" width="13.5703125" style="31" customWidth="1"/>
    <col min="12" max="12" width="3" style="31" customWidth="1"/>
    <col min="13" max="13" width="2.85546875" style="31" customWidth="1"/>
    <col min="14" max="14" width="3" style="31" customWidth="1"/>
    <col min="15" max="15" width="16.5703125" style="37" bestFit="1" customWidth="1"/>
    <col min="16" max="16" width="3" style="37" hidden="1" customWidth="1"/>
    <col min="17" max="17" width="10.7109375" style="38" customWidth="1"/>
    <col min="18" max="18" width="3" style="31" customWidth="1"/>
    <col min="19" max="19" width="2.85546875" style="31" customWidth="1"/>
    <col min="20" max="21" width="9.140625" style="31" customWidth="1"/>
    <col min="22" max="22" width="3" style="31" customWidth="1"/>
    <col min="23" max="23" width="6.140625" style="31" customWidth="1"/>
    <col min="24" max="16384" width="9.140625" style="31"/>
  </cols>
  <sheetData>
    <row r="1" spans="2:21" ht="21.75" customHeight="1" x14ac:dyDescent="0.2">
      <c r="B1" s="110">
        <f ca="1">IF(HOUR(NOW())&gt;6,TODAY(),TODAY()-1)</f>
        <v>44263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2:21" x14ac:dyDescent="0.2">
      <c r="C2" s="99"/>
      <c r="D2" s="48"/>
      <c r="E2" s="48"/>
      <c r="F2" s="48"/>
      <c r="G2" s="48"/>
      <c r="H2" s="78"/>
      <c r="I2" s="78"/>
      <c r="J2" s="78"/>
      <c r="K2" s="78"/>
      <c r="L2" s="78"/>
      <c r="M2" s="78"/>
    </row>
    <row r="3" spans="2:21" ht="15" customHeight="1" thickBot="1" x14ac:dyDescent="0.25">
      <c r="B3" s="28"/>
      <c r="C3" s="28"/>
      <c r="D3" s="28"/>
      <c r="E3" s="28"/>
      <c r="F3" s="28"/>
      <c r="G3" s="28"/>
      <c r="H3" s="79"/>
      <c r="I3" s="55"/>
      <c r="J3" s="55"/>
      <c r="K3" s="55"/>
      <c r="L3" s="55"/>
      <c r="M3" s="64"/>
      <c r="N3" s="32"/>
      <c r="O3" s="80"/>
      <c r="P3" s="80"/>
      <c r="Q3" s="81"/>
      <c r="R3" s="32"/>
    </row>
    <row r="4" spans="2:21" x14ac:dyDescent="0.2">
      <c r="B4" s="28"/>
      <c r="C4" s="111" t="s">
        <v>0</v>
      </c>
      <c r="D4" s="112"/>
      <c r="E4" s="28"/>
      <c r="F4" s="28"/>
      <c r="G4" s="73"/>
      <c r="H4" s="79"/>
      <c r="I4" s="56"/>
      <c r="J4" s="115" t="s">
        <v>16</v>
      </c>
      <c r="K4" s="116"/>
      <c r="L4" s="65"/>
      <c r="M4" s="82"/>
      <c r="N4" s="32"/>
      <c r="O4" s="107" t="s">
        <v>2</v>
      </c>
      <c r="P4" s="108"/>
      <c r="Q4" s="109"/>
      <c r="R4" s="32"/>
    </row>
    <row r="5" spans="2:21" x14ac:dyDescent="0.2">
      <c r="B5" s="28"/>
      <c r="C5" s="72" t="s">
        <v>3</v>
      </c>
      <c r="D5" s="67" t="s">
        <v>4</v>
      </c>
      <c r="E5" s="28"/>
      <c r="F5" s="28"/>
      <c r="G5" s="73"/>
      <c r="H5" s="74"/>
      <c r="I5" s="56"/>
      <c r="J5" s="75" t="s">
        <v>18</v>
      </c>
      <c r="K5" s="76" t="s">
        <v>11</v>
      </c>
      <c r="L5" s="77"/>
      <c r="M5" s="68"/>
      <c r="N5" s="32"/>
      <c r="O5" s="69" t="s">
        <v>26</v>
      </c>
      <c r="P5" s="92">
        <v>1</v>
      </c>
      <c r="Q5" s="98">
        <v>475</v>
      </c>
      <c r="R5" s="32"/>
    </row>
    <row r="6" spans="2:21" ht="13.5" thickBot="1" x14ac:dyDescent="0.25">
      <c r="B6" s="28"/>
      <c r="C6" s="4"/>
      <c r="D6" s="5"/>
      <c r="E6" s="28"/>
      <c r="F6" s="28"/>
      <c r="G6" s="70"/>
      <c r="H6" s="60"/>
      <c r="I6" s="71"/>
      <c r="J6" s="22"/>
      <c r="K6" s="84"/>
      <c r="L6" s="63"/>
      <c r="M6" s="68"/>
      <c r="N6" s="32"/>
      <c r="O6" s="69" t="s">
        <v>5</v>
      </c>
      <c r="P6" s="92"/>
      <c r="Q6" s="85">
        <f>SUM(K6:K17)</f>
        <v>0</v>
      </c>
      <c r="R6" s="32"/>
    </row>
    <row r="7" spans="2:21" ht="12.75" customHeight="1" x14ac:dyDescent="0.2">
      <c r="B7" s="28"/>
      <c r="C7" s="61"/>
      <c r="D7" s="61"/>
      <c r="E7" s="61"/>
      <c r="F7" s="61"/>
      <c r="G7" s="61"/>
      <c r="H7" s="29"/>
      <c r="I7" s="59"/>
      <c r="J7" s="22"/>
      <c r="K7" s="84"/>
      <c r="L7" s="63"/>
      <c r="M7" s="57"/>
      <c r="N7" s="58"/>
      <c r="O7" s="46" t="s">
        <v>9</v>
      </c>
      <c r="P7" s="96">
        <v>1</v>
      </c>
      <c r="Q7" s="84"/>
      <c r="R7" s="32"/>
    </row>
    <row r="8" spans="2:21" x14ac:dyDescent="0.2">
      <c r="B8" s="28"/>
      <c r="C8" s="113" t="s">
        <v>6</v>
      </c>
      <c r="D8" s="114"/>
      <c r="E8" s="28"/>
      <c r="F8" s="28"/>
      <c r="G8" s="61"/>
      <c r="H8" s="29"/>
      <c r="I8" s="55"/>
      <c r="J8" s="22"/>
      <c r="K8" s="84"/>
      <c r="L8" s="59"/>
      <c r="M8" s="64"/>
      <c r="N8" s="58"/>
      <c r="O8" s="46" t="s">
        <v>77</v>
      </c>
      <c r="P8" s="96">
        <v>2</v>
      </c>
      <c r="Q8" s="84"/>
      <c r="R8" s="32"/>
    </row>
    <row r="9" spans="2:21" x14ac:dyDescent="0.2">
      <c r="B9" s="28"/>
      <c r="C9" s="66" t="s">
        <v>10</v>
      </c>
      <c r="D9" s="67" t="s">
        <v>11</v>
      </c>
      <c r="E9" s="28"/>
      <c r="F9" s="28"/>
      <c r="G9" s="61"/>
      <c r="H9" s="29"/>
      <c r="I9" s="55"/>
      <c r="J9" s="22"/>
      <c r="K9" s="84"/>
      <c r="L9" s="65"/>
      <c r="M9" s="62"/>
      <c r="N9" s="58"/>
      <c r="O9" s="49" t="s">
        <v>12</v>
      </c>
      <c r="P9" s="96">
        <v>3</v>
      </c>
      <c r="Q9" s="86"/>
      <c r="R9" s="32"/>
    </row>
    <row r="10" spans="2:21" ht="13.5" thickBot="1" x14ac:dyDescent="0.25">
      <c r="B10" s="28"/>
      <c r="C10" s="6"/>
      <c r="D10" s="5"/>
      <c r="E10" s="28"/>
      <c r="F10" s="28"/>
      <c r="G10" s="61"/>
      <c r="H10" s="29"/>
      <c r="I10" s="55"/>
      <c r="J10" s="22"/>
      <c r="K10" s="84"/>
      <c r="L10" s="56"/>
      <c r="M10" s="62"/>
      <c r="N10" s="58"/>
      <c r="O10" s="49" t="s">
        <v>13</v>
      </c>
      <c r="P10" s="96">
        <v>4</v>
      </c>
      <c r="Q10" s="86"/>
      <c r="R10" s="32"/>
    </row>
    <row r="11" spans="2:21" ht="12.75" customHeight="1" thickBot="1" x14ac:dyDescent="0.25">
      <c r="B11" s="28"/>
      <c r="C11" s="28"/>
      <c r="D11" s="28"/>
      <c r="E11" s="28"/>
      <c r="F11" s="28"/>
      <c r="G11" s="28"/>
      <c r="H11" s="60"/>
      <c r="I11" s="55"/>
      <c r="J11" s="22"/>
      <c r="K11" s="84"/>
      <c r="L11" s="56"/>
      <c r="M11" s="57"/>
      <c r="N11" s="58"/>
      <c r="O11" s="49" t="s">
        <v>14</v>
      </c>
      <c r="P11" s="96">
        <v>5</v>
      </c>
      <c r="Q11" s="86"/>
      <c r="R11" s="32"/>
    </row>
    <row r="12" spans="2:21" x14ac:dyDescent="0.2">
      <c r="B12" s="28"/>
      <c r="C12" s="101" t="s">
        <v>7</v>
      </c>
      <c r="D12" s="102"/>
      <c r="E12" s="102"/>
      <c r="F12" s="103"/>
      <c r="G12" s="61"/>
      <c r="H12" s="29"/>
      <c r="I12" s="59"/>
      <c r="J12" s="22"/>
      <c r="K12" s="84"/>
      <c r="L12" s="59"/>
      <c r="M12" s="57"/>
      <c r="N12" s="58"/>
      <c r="O12" s="49" t="s">
        <v>15</v>
      </c>
      <c r="P12" s="96">
        <v>6</v>
      </c>
      <c r="Q12" s="86"/>
      <c r="R12" s="32"/>
      <c r="U12" s="100"/>
    </row>
    <row r="13" spans="2:21" ht="14.25" customHeight="1" x14ac:dyDescent="0.2">
      <c r="B13" s="28"/>
      <c r="C13" s="51" t="s">
        <v>10</v>
      </c>
      <c r="D13" s="52" t="s">
        <v>11</v>
      </c>
      <c r="E13" s="52" t="s">
        <v>32</v>
      </c>
      <c r="F13" s="53" t="s">
        <v>31</v>
      </c>
      <c r="G13" s="28"/>
      <c r="H13" s="50"/>
      <c r="I13" s="55"/>
      <c r="J13" s="22"/>
      <c r="K13" s="97"/>
      <c r="L13" s="59"/>
      <c r="N13" s="32"/>
      <c r="O13" s="49" t="s">
        <v>17</v>
      </c>
      <c r="P13" s="96">
        <v>7</v>
      </c>
      <c r="Q13" s="86"/>
      <c r="R13" s="32"/>
    </row>
    <row r="14" spans="2:21" ht="13.5" thickBot="1" x14ac:dyDescent="0.25">
      <c r="B14" s="28"/>
      <c r="C14" s="6"/>
      <c r="D14" s="20"/>
      <c r="E14" s="20"/>
      <c r="F14" s="5"/>
      <c r="G14" s="28"/>
      <c r="H14" s="50"/>
      <c r="I14" s="55"/>
      <c r="J14" s="22"/>
      <c r="K14" s="84"/>
      <c r="L14" s="59"/>
      <c r="M14" s="48"/>
      <c r="N14" s="32"/>
      <c r="O14" s="49" t="s">
        <v>19</v>
      </c>
      <c r="P14" s="96">
        <v>8</v>
      </c>
      <c r="Q14" s="86"/>
      <c r="R14" s="32"/>
      <c r="U14" s="100"/>
    </row>
    <row r="15" spans="2:21" ht="12.75" customHeight="1" thickBot="1" x14ac:dyDescent="0.25">
      <c r="B15" s="28"/>
      <c r="C15" s="28"/>
      <c r="D15" s="28"/>
      <c r="E15" s="28"/>
      <c r="F15" s="28"/>
      <c r="G15" s="28"/>
      <c r="H15" s="29"/>
      <c r="I15" s="55"/>
      <c r="J15" s="22"/>
      <c r="K15" s="84"/>
      <c r="L15" s="59"/>
      <c r="M15" s="48"/>
      <c r="N15" s="32"/>
      <c r="O15" s="49" t="s">
        <v>20</v>
      </c>
      <c r="P15" s="96">
        <v>9</v>
      </c>
      <c r="Q15" s="84"/>
      <c r="R15" s="32"/>
      <c r="U15" s="100"/>
    </row>
    <row r="16" spans="2:21" x14ac:dyDescent="0.2">
      <c r="B16" s="28"/>
      <c r="C16" s="101" t="s">
        <v>8</v>
      </c>
      <c r="D16" s="102"/>
      <c r="E16" s="102"/>
      <c r="F16" s="103"/>
      <c r="G16" s="28"/>
      <c r="H16" s="29"/>
      <c r="I16" s="55"/>
      <c r="J16" s="22"/>
      <c r="K16" s="84"/>
      <c r="L16" s="59"/>
      <c r="N16" s="32"/>
      <c r="O16" s="49" t="s">
        <v>72</v>
      </c>
      <c r="P16" s="96">
        <v>10</v>
      </c>
      <c r="Q16" s="84"/>
      <c r="R16" s="32"/>
    </row>
    <row r="17" spans="2:18" ht="13.5" thickBot="1" x14ac:dyDescent="0.25">
      <c r="B17" s="28"/>
      <c r="C17" s="51" t="s">
        <v>10</v>
      </c>
      <c r="D17" s="52" t="s">
        <v>11</v>
      </c>
      <c r="E17" s="52" t="s">
        <v>32</v>
      </c>
      <c r="F17" s="53" t="s">
        <v>31</v>
      </c>
      <c r="G17" s="28"/>
      <c r="H17" s="29"/>
      <c r="I17" s="55"/>
      <c r="J17" s="83"/>
      <c r="K17" s="87"/>
      <c r="L17" s="59"/>
      <c r="N17" s="32"/>
      <c r="O17" s="49" t="s">
        <v>21</v>
      </c>
      <c r="P17" s="96">
        <v>11</v>
      </c>
      <c r="Q17" s="84"/>
      <c r="R17" s="32"/>
    </row>
    <row r="18" spans="2:18" ht="13.5" thickBot="1" x14ac:dyDescent="0.25">
      <c r="B18" s="28"/>
      <c r="C18" s="6"/>
      <c r="D18" s="20"/>
      <c r="E18" s="21"/>
      <c r="F18" s="5"/>
      <c r="G18" s="28"/>
      <c r="H18" s="29"/>
      <c r="I18" s="54"/>
      <c r="J18" s="54"/>
      <c r="K18" s="54"/>
      <c r="L18" s="55"/>
      <c r="N18" s="32"/>
      <c r="O18" s="47" t="s">
        <v>22</v>
      </c>
      <c r="P18" s="96">
        <v>12</v>
      </c>
      <c r="Q18" s="87"/>
      <c r="R18" s="32"/>
    </row>
    <row r="19" spans="2:18" ht="13.5" thickBot="1" x14ac:dyDescent="0.25">
      <c r="B19" s="28"/>
      <c r="C19" s="28"/>
      <c r="D19" s="28"/>
      <c r="E19" s="28"/>
      <c r="F19" s="28"/>
      <c r="G19" s="28"/>
      <c r="H19" s="29"/>
      <c r="I19" s="29"/>
      <c r="J19" s="29"/>
      <c r="L19" s="29"/>
      <c r="N19" s="32"/>
      <c r="O19" s="33"/>
      <c r="P19" s="33"/>
      <c r="Q19" s="88" t="s">
        <v>78</v>
      </c>
      <c r="R19" s="32"/>
    </row>
    <row r="20" spans="2:18" x14ac:dyDescent="0.2">
      <c r="B20" s="28"/>
      <c r="C20" s="104" t="s">
        <v>1</v>
      </c>
      <c r="D20" s="105"/>
      <c r="E20" s="105"/>
      <c r="F20" s="106"/>
      <c r="G20" s="28"/>
      <c r="H20" s="29"/>
      <c r="I20" s="30"/>
      <c r="J20" s="30"/>
      <c r="K20" s="30"/>
      <c r="L20" s="30"/>
      <c r="N20" s="32"/>
      <c r="O20" s="42" t="s">
        <v>23</v>
      </c>
      <c r="P20" s="94"/>
      <c r="Q20" s="89">
        <f>SUM(Q6:Q18)-Q5</f>
        <v>-475</v>
      </c>
      <c r="R20" s="32"/>
    </row>
    <row r="21" spans="2:18" x14ac:dyDescent="0.2">
      <c r="B21" s="28"/>
      <c r="C21" s="43" t="s">
        <v>73</v>
      </c>
      <c r="D21" s="44" t="s">
        <v>74</v>
      </c>
      <c r="E21" s="44" t="s">
        <v>75</v>
      </c>
      <c r="F21" s="45" t="s">
        <v>76</v>
      </c>
      <c r="G21" s="28"/>
      <c r="H21" s="39"/>
      <c r="I21" s="40"/>
      <c r="J21" s="30"/>
      <c r="K21" s="30"/>
      <c r="L21" s="30"/>
      <c r="N21" s="32"/>
      <c r="O21" s="46" t="s">
        <v>24</v>
      </c>
      <c r="P21" s="93"/>
      <c r="Q21" s="90">
        <f>C6</f>
        <v>0</v>
      </c>
      <c r="R21" s="32"/>
    </row>
    <row r="22" spans="2:18" ht="13.5" thickBot="1" x14ac:dyDescent="0.25">
      <c r="B22" s="28"/>
      <c r="C22" s="25"/>
      <c r="D22" s="26"/>
      <c r="E22" s="26"/>
      <c r="F22" s="27"/>
      <c r="G22" s="28"/>
      <c r="H22" s="39"/>
      <c r="I22" s="40"/>
      <c r="J22" s="30"/>
      <c r="K22" s="30"/>
      <c r="L22" s="30"/>
      <c r="N22" s="32"/>
      <c r="O22" s="41" t="s">
        <v>25</v>
      </c>
      <c r="P22" s="95"/>
      <c r="Q22" s="91">
        <f>Q20-Q21</f>
        <v>-475</v>
      </c>
      <c r="R22" s="32"/>
    </row>
    <row r="23" spans="2:18" x14ac:dyDescent="0.2">
      <c r="B23" s="28"/>
      <c r="C23" s="28"/>
      <c r="D23" s="28"/>
      <c r="E23" s="28"/>
      <c r="F23" s="28"/>
      <c r="G23" s="28"/>
      <c r="H23" s="29"/>
      <c r="I23" s="30"/>
      <c r="J23" s="30"/>
      <c r="K23" s="30"/>
      <c r="L23" s="30"/>
      <c r="N23" s="32"/>
      <c r="O23" s="33"/>
      <c r="P23" s="33"/>
      <c r="Q23" s="34"/>
      <c r="R23" s="32"/>
    </row>
    <row r="24" spans="2:18" x14ac:dyDescent="0.2">
      <c r="H24" s="29"/>
      <c r="I24" s="29"/>
      <c r="N24" s="29"/>
      <c r="O24" s="35"/>
      <c r="P24" s="35"/>
      <c r="Q24" s="36"/>
      <c r="R24" s="29"/>
    </row>
  </sheetData>
  <sheetProtection selectLockedCells="1"/>
  <mergeCells count="8">
    <mergeCell ref="C12:F12"/>
    <mergeCell ref="C16:F16"/>
    <mergeCell ref="C20:F20"/>
    <mergeCell ref="O4:Q4"/>
    <mergeCell ref="B1:R1"/>
    <mergeCell ref="C4:D4"/>
    <mergeCell ref="C8:D8"/>
    <mergeCell ref="J4:K4"/>
  </mergeCells>
  <phoneticPr fontId="5" type="noConversion"/>
  <conditionalFormatting sqref="Q10:Q14">
    <cfRule type="expression" dxfId="16" priority="10">
      <formula>#REF!="Segunda"</formula>
    </cfRule>
  </conditionalFormatting>
  <conditionalFormatting sqref="Q9">
    <cfRule type="expression" dxfId="15" priority="15">
      <formula>#REF!="Segunda"</formula>
    </cfRule>
  </conditionalFormatting>
  <conditionalFormatting sqref="F18">
    <cfRule type="expression" dxfId="14" priority="16">
      <formula>$D6="Segunda"</formula>
    </cfRule>
  </conditionalFormatting>
  <conditionalFormatting sqref="O12:O17">
    <cfRule type="expression" dxfId="13" priority="23">
      <formula>#REF!="Segunda"</formula>
    </cfRule>
  </conditionalFormatting>
  <conditionalFormatting sqref="N8:N9 M7:N7 L8">
    <cfRule type="expression" dxfId="12" priority="24">
      <formula>#REF!="Segunda"</formula>
    </cfRule>
  </conditionalFormatting>
  <conditionalFormatting sqref="C10:D10 C16 G12 H11 I12 K13">
    <cfRule type="expression" dxfId="11" priority="26">
      <formula>#REF!="Segunda"</formula>
    </cfRule>
  </conditionalFormatting>
  <conditionalFormatting sqref="C6:D6 G8:G10 C22:F22 C7:G7 G6 M5:M6 L6:L7 H5:H6 I6:I7 K8">
    <cfRule type="expression" dxfId="10" priority="27">
      <formula>#REF!="Segunda"</formula>
    </cfRule>
  </conditionalFormatting>
  <conditionalFormatting sqref="C14:D14 C18:E18 L11:L13 M10:N12 O9:P9 O10:O11 P12 P15 P18">
    <cfRule type="expression" dxfId="9" priority="31">
      <formula>#REF!="Segunda"</formula>
    </cfRule>
  </conditionalFormatting>
  <conditionalFormatting sqref="C13:F13 C17:F18 C14:D14">
    <cfRule type="expression" dxfId="8" priority="35">
      <formula>#REF!="Segunda"</formula>
    </cfRule>
  </conditionalFormatting>
  <conditionalFormatting sqref="C9:D10 C16 G12 H11 I12">
    <cfRule type="expression" dxfId="7" priority="38">
      <formula>#REF!="Segunda"</formula>
    </cfRule>
  </conditionalFormatting>
  <conditionalFormatting sqref="O18">
    <cfRule type="expression" dxfId="6" priority="40">
      <formula>#REF!="Segunda"</formula>
    </cfRule>
  </conditionalFormatting>
  <conditionalFormatting sqref="M11:M12">
    <cfRule type="expression" dxfId="5" priority="58">
      <formula>$D6="Segunda"</formula>
    </cfRule>
  </conditionalFormatting>
  <conditionalFormatting sqref="L12:L13">
    <cfRule type="expression" dxfId="4" priority="61">
      <formula>$D6="Segunda"</formula>
    </cfRule>
  </conditionalFormatting>
  <conditionalFormatting sqref="L14:L17">
    <cfRule type="expression" dxfId="3" priority="3">
      <formula>#REF!="Segunda"</formula>
    </cfRule>
  </conditionalFormatting>
  <conditionalFormatting sqref="L14:L17">
    <cfRule type="expression" dxfId="2" priority="4">
      <formula>$D8="Segunda"</formula>
    </cfRule>
  </conditionalFormatting>
  <conditionalFormatting sqref="E14:F14">
    <cfRule type="expression" dxfId="1" priority="1">
      <formula>#REF!="Segunda"</formula>
    </cfRule>
  </conditionalFormatting>
  <conditionalFormatting sqref="E14:F14">
    <cfRule type="expression" dxfId="0" priority="2">
      <formula>#REF!="Segunda"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char_Caixa">
                <anchor moveWithCells="1" sizeWithCells="1">
                  <from>
                    <xdr:col>9</xdr:col>
                    <xdr:colOff>1000125</xdr:colOff>
                    <xdr:row>19</xdr:row>
                    <xdr:rowOff>152400</xdr:rowOff>
                  </from>
                  <to>
                    <xdr:col>9</xdr:col>
                    <xdr:colOff>2105025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nu_Menu">
                <anchor moveWithCells="1" sizeWithCells="1">
                  <from>
                    <xdr:col>0</xdr:col>
                    <xdr:colOff>85725</xdr:colOff>
                    <xdr:row>0</xdr:row>
                    <xdr:rowOff>38100</xdr:rowOff>
                  </from>
                  <to>
                    <xdr:col>0</xdr:col>
                    <xdr:colOff>504825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FF7FC-8EA0-4A47-8616-F4E933A1FE64}">
  <sheetPr codeName="Planilha9"/>
  <dimension ref="B1:F12"/>
  <sheetViews>
    <sheetView showGridLines="0" workbookViewId="0">
      <selection activeCell="E5" sqref="E5"/>
    </sheetView>
  </sheetViews>
  <sheetFormatPr defaultRowHeight="12.75" x14ac:dyDescent="0.2"/>
  <cols>
    <col min="1" max="1" width="3.7109375" style="1" customWidth="1"/>
    <col min="2" max="2" width="16.85546875" style="1" customWidth="1"/>
    <col min="3" max="3" width="31.5703125" style="1" customWidth="1"/>
    <col min="4" max="5" width="20" style="1" customWidth="1"/>
    <col min="6" max="6" width="4.28515625" style="1" customWidth="1"/>
    <col min="7" max="16384" width="9.140625" style="1"/>
  </cols>
  <sheetData>
    <row r="1" spans="2:6" s="17" customFormat="1" ht="36.75" customHeight="1" x14ac:dyDescent="0.2">
      <c r="B1" s="18"/>
      <c r="C1" s="117" t="s">
        <v>30</v>
      </c>
      <c r="D1" s="117"/>
      <c r="E1" s="117"/>
      <c r="F1" s="18"/>
    </row>
    <row r="2" spans="2:6" ht="22.5" customHeight="1" x14ac:dyDescent="0.2">
      <c r="C2" s="7" t="s">
        <v>28</v>
      </c>
      <c r="D2" s="8" t="s">
        <v>29</v>
      </c>
      <c r="E2" s="9" t="s">
        <v>11</v>
      </c>
      <c r="F2" s="10"/>
    </row>
    <row r="3" spans="2:6" ht="22.5" customHeight="1" x14ac:dyDescent="0.2">
      <c r="C3" s="11" t="s">
        <v>79</v>
      </c>
      <c r="D3" s="19">
        <v>44254</v>
      </c>
      <c r="E3" s="12">
        <v>108</v>
      </c>
    </row>
    <row r="4" spans="2:6" ht="22.5" customHeight="1" x14ac:dyDescent="0.2">
      <c r="C4" s="13" t="s">
        <v>80</v>
      </c>
      <c r="D4" s="15">
        <v>44254</v>
      </c>
      <c r="E4" s="14">
        <v>66</v>
      </c>
    </row>
    <row r="5" spans="2:6" ht="22.5" customHeight="1" x14ac:dyDescent="0.2">
      <c r="C5" s="11"/>
      <c r="D5" s="19"/>
      <c r="E5" s="12"/>
    </row>
    <row r="6" spans="2:6" ht="22.5" customHeight="1" x14ac:dyDescent="0.2">
      <c r="C6" s="13"/>
      <c r="D6" s="15"/>
      <c r="E6" s="14"/>
    </row>
    <row r="7" spans="2:6" ht="22.5" customHeight="1" x14ac:dyDescent="0.2">
      <c r="C7" s="11"/>
      <c r="D7" s="19"/>
      <c r="E7" s="12"/>
    </row>
    <row r="8" spans="2:6" ht="22.5" customHeight="1" x14ac:dyDescent="0.2">
      <c r="C8" s="13"/>
      <c r="D8" s="15"/>
      <c r="E8" s="14"/>
    </row>
    <row r="9" spans="2:6" ht="22.5" customHeight="1" x14ac:dyDescent="0.2">
      <c r="C9" s="11"/>
      <c r="D9" s="19"/>
      <c r="E9" s="12"/>
    </row>
    <row r="10" spans="2:6" ht="22.5" customHeight="1" x14ac:dyDescent="0.2">
      <c r="C10" s="11"/>
      <c r="D10" s="15"/>
      <c r="E10" s="14"/>
    </row>
    <row r="11" spans="2:6" ht="22.5" customHeight="1" x14ac:dyDescent="0.2">
      <c r="C11" s="11"/>
      <c r="D11" s="19"/>
      <c r="E11" s="12"/>
    </row>
    <row r="12" spans="2:6" ht="22.5" customHeight="1" x14ac:dyDescent="0.2">
      <c r="C12" s="13"/>
      <c r="D12" s="15"/>
      <c r="E12" s="14"/>
    </row>
  </sheetData>
  <sheetProtection sheet="1" objects="1" scenarios="1" selectLockedCells="1"/>
  <mergeCells count="1">
    <mergeCell ref="C1:E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icionar_Boletos">
                <anchor moveWithCells="1" sizeWithCells="1">
                  <from>
                    <xdr:col>3</xdr:col>
                    <xdr:colOff>514350</xdr:colOff>
                    <xdr:row>13</xdr:row>
                    <xdr:rowOff>19050</xdr:rowOff>
                  </from>
                  <to>
                    <xdr:col>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enu_Menu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1</xdr:col>
                    <xdr:colOff>285750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9B7B9-185E-42CA-868F-26E80FA64669}">
  <sheetPr codeName="Planilha10"/>
  <dimension ref="A1:B19"/>
  <sheetViews>
    <sheetView workbookViewId="0">
      <selection activeCell="B16" sqref="B16"/>
    </sheetView>
  </sheetViews>
  <sheetFormatPr defaultRowHeight="12.75" x14ac:dyDescent="0.2"/>
  <cols>
    <col min="1" max="1" width="20.5703125" style="2" bestFit="1" customWidth="1"/>
    <col min="2" max="2" width="9.140625" style="2"/>
  </cols>
  <sheetData>
    <row r="1" spans="1:2" x14ac:dyDescent="0.2">
      <c r="A1" s="118" t="s">
        <v>68</v>
      </c>
      <c r="B1" s="118"/>
    </row>
    <row r="2" spans="1:2" x14ac:dyDescent="0.2">
      <c r="A2" s="23" t="s">
        <v>18</v>
      </c>
      <c r="B2" s="23" t="s">
        <v>69</v>
      </c>
    </row>
    <row r="3" spans="1:2" x14ac:dyDescent="0.2">
      <c r="A3" s="24" t="s">
        <v>35</v>
      </c>
      <c r="B3" s="24" t="s">
        <v>51</v>
      </c>
    </row>
    <row r="4" spans="1:2" x14ac:dyDescent="0.2">
      <c r="A4" s="24" t="s">
        <v>34</v>
      </c>
      <c r="B4" s="24" t="s">
        <v>52</v>
      </c>
    </row>
    <row r="5" spans="1:2" x14ac:dyDescent="0.2">
      <c r="A5" s="24" t="s">
        <v>36</v>
      </c>
      <c r="B5" s="24" t="s">
        <v>53</v>
      </c>
    </row>
    <row r="6" spans="1:2" x14ac:dyDescent="0.2">
      <c r="A6" s="24" t="s">
        <v>37</v>
      </c>
      <c r="B6" s="24" t="s">
        <v>54</v>
      </c>
    </row>
    <row r="7" spans="1:2" x14ac:dyDescent="0.2">
      <c r="A7" s="24" t="s">
        <v>38</v>
      </c>
      <c r="B7" s="24" t="s">
        <v>55</v>
      </c>
    </row>
    <row r="8" spans="1:2" x14ac:dyDescent="0.2">
      <c r="A8" s="24" t="s">
        <v>39</v>
      </c>
      <c r="B8" s="24" t="s">
        <v>56</v>
      </c>
    </row>
    <row r="9" spans="1:2" x14ac:dyDescent="0.2">
      <c r="A9" s="24" t="s">
        <v>40</v>
      </c>
      <c r="B9" s="24" t="s">
        <v>57</v>
      </c>
    </row>
    <row r="10" spans="1:2" x14ac:dyDescent="0.2">
      <c r="A10" s="24" t="s">
        <v>41</v>
      </c>
      <c r="B10" s="24" t="s">
        <v>58</v>
      </c>
    </row>
    <row r="11" spans="1:2" x14ac:dyDescent="0.2">
      <c r="A11" s="24" t="s">
        <v>42</v>
      </c>
      <c r="B11" s="24" t="s">
        <v>59</v>
      </c>
    </row>
    <row r="12" spans="1:2" x14ac:dyDescent="0.2">
      <c r="A12" s="24" t="s">
        <v>43</v>
      </c>
      <c r="B12" s="24" t="s">
        <v>60</v>
      </c>
    </row>
    <row r="13" spans="1:2" x14ac:dyDescent="0.2">
      <c r="A13" s="24" t="s">
        <v>44</v>
      </c>
      <c r="B13" s="24" t="s">
        <v>61</v>
      </c>
    </row>
    <row r="14" spans="1:2" x14ac:dyDescent="0.2">
      <c r="A14" s="24" t="s">
        <v>45</v>
      </c>
      <c r="B14" s="24" t="s">
        <v>62</v>
      </c>
    </row>
    <row r="15" spans="1:2" x14ac:dyDescent="0.2">
      <c r="A15" s="24" t="s">
        <v>46</v>
      </c>
      <c r="B15" s="24" t="s">
        <v>63</v>
      </c>
    </row>
    <row r="16" spans="1:2" x14ac:dyDescent="0.2">
      <c r="A16" s="24" t="s">
        <v>47</v>
      </c>
      <c r="B16" s="24" t="s">
        <v>64</v>
      </c>
    </row>
    <row r="17" spans="1:2" x14ac:dyDescent="0.2">
      <c r="A17" s="24" t="s">
        <v>48</v>
      </c>
      <c r="B17" s="24" t="s">
        <v>65</v>
      </c>
    </row>
    <row r="18" spans="1:2" x14ac:dyDescent="0.2">
      <c r="A18" s="24" t="s">
        <v>49</v>
      </c>
      <c r="B18" s="24" t="s">
        <v>66</v>
      </c>
    </row>
    <row r="19" spans="1:2" x14ac:dyDescent="0.2">
      <c r="A19" s="24" t="s">
        <v>50</v>
      </c>
      <c r="B19" s="24" t="s">
        <v>67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62578-7FF2-4396-B8DC-C17B071F96D5}">
  <sheetPr codeName="Planilha7"/>
  <dimension ref="A1:B4"/>
  <sheetViews>
    <sheetView workbookViewId="0">
      <selection activeCell="B3" sqref="B3"/>
    </sheetView>
  </sheetViews>
  <sheetFormatPr defaultRowHeight="12.75" x14ac:dyDescent="0.2"/>
  <cols>
    <col min="2" max="2" width="18.42578125" bestFit="1" customWidth="1"/>
  </cols>
  <sheetData>
    <row r="1" spans="1:2" x14ac:dyDescent="0.2">
      <c r="A1" s="3" t="s">
        <v>27</v>
      </c>
      <c r="B1" s="3" t="s">
        <v>18</v>
      </c>
    </row>
    <row r="2" spans="1:2" x14ac:dyDescent="0.2">
      <c r="A2">
        <v>1</v>
      </c>
      <c r="B2" t="s">
        <v>70</v>
      </c>
    </row>
    <row r="3" spans="1:2" x14ac:dyDescent="0.2">
      <c r="A3">
        <v>2</v>
      </c>
      <c r="B3" t="s">
        <v>33</v>
      </c>
    </row>
    <row r="4" spans="1:2" x14ac:dyDescent="0.2">
      <c r="A4">
        <v>3</v>
      </c>
      <c r="B4" t="s">
        <v>71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0B4FE4-BE99-423B-8E91-5D29A59C00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Menu</vt:lpstr>
      <vt:lpstr>Fechar Caixa</vt:lpstr>
      <vt:lpstr>Boletos</vt:lpstr>
      <vt:lpstr>Config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Fontoura</dc:creator>
  <cp:lastModifiedBy>Daniel Fontoura</cp:lastModifiedBy>
  <dcterms:created xsi:type="dcterms:W3CDTF">2020-10-01T01:25:32Z</dcterms:created>
  <dcterms:modified xsi:type="dcterms:W3CDTF">2021-03-09T08:08:04Z</dcterms:modified>
</cp:coreProperties>
</file>